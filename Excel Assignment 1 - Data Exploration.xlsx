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C2453CB5-F73C-4817-8802-A925E9A9F42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48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" i="2"/>
  <c r="D4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" i="2"/>
  <c r="D45" i="2"/>
  <c r="D44" i="2"/>
  <c r="D42" i="2"/>
  <c r="D41" i="2"/>
  <c r="D40" i="2"/>
</calcChain>
</file>

<file path=xl/sharedStrings.xml><?xml version="1.0" encoding="utf-8"?>
<sst xmlns="http://schemas.openxmlformats.org/spreadsheetml/2006/main" count="192" uniqueCount="137">
  <si>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</si>
  <si>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</si>
  <si>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</si>
  <si>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</si>
  <si>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</si>
  <si>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</si>
  <si>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</si>
  <si>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</si>
  <si>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</si>
  <si>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</si>
  <si>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</si>
  <si>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</si>
  <si>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</si>
  <si>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</si>
  <si>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</si>
  <si>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</si>
  <si>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</si>
  <si>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</si>
  <si>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</si>
  <si>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</si>
  <si>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</si>
  <si>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</si>
  <si>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</si>
  <si>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</si>
  <si>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</si>
  <si>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</si>
  <si>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</si>
  <si>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</si>
  <si>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</si>
  <si>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</si>
  <si>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</si>
  <si>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</si>
  <si>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</si>
  <si>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</si>
  <si>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</si>
  <si>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</si>
  <si>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</si>
  <si>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</si>
  <si>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</si>
  <si>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</si>
  <si>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</si>
  <si>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</si>
  <si>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</si>
  <si>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</si>
  <si>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</si>
  <si>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</si>
  <si>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</si>
  <si>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</si>
  <si>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</si>
  <si>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</si>
  <si>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</si>
  <si>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</si>
  <si>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</si>
  <si>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</si>
  <si>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</si>
  <si>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</si>
  <si>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</si>
  <si>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</si>
  <si>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</si>
  <si>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</si>
  <si>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</si>
  <si>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</si>
  <si>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</si>
  <si>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</si>
  <si>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</si>
  <si>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</si>
  <si>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</si>
  <si>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</si>
  <si>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</si>
  <si>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</si>
  <si>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</si>
  <si>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</si>
  <si>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</si>
  <si>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</si>
  <si>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</si>
  <si>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</si>
  <si>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</si>
  <si>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</si>
  <si>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</si>
  <si>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</si>
  <si>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</si>
  <si>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</si>
  <si>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</si>
  <si>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</si>
  <si>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</si>
  <si>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</si>
  <si>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</si>
  <si>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</si>
  <si>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</si>
  <si>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</si>
  <si>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</si>
  <si>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</si>
  <si>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</si>
  <si>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</si>
  <si>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</si>
  <si>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</si>
  <si>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</si>
  <si>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</si>
  <si>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</si>
  <si>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</si>
  <si>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</si>
  <si>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</si>
  <si>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</si>
  <si>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</si>
  <si>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</si>
  <si>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</si>
  <si>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</si>
  <si>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</si>
  <si>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</si>
  <si>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</si>
  <si>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</si>
  <si>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1.A)</t>
  </si>
  <si>
    <t>B)</t>
  </si>
  <si>
    <t>HOW MANY PRODUCTS</t>
  </si>
  <si>
    <t>C)</t>
  </si>
  <si>
    <t xml:space="preserve">AVERAGE PRICE </t>
  </si>
  <si>
    <t>2.A)</t>
  </si>
  <si>
    <t>MINIMUM PRICE</t>
  </si>
  <si>
    <t>MAX PRICE</t>
  </si>
  <si>
    <t>Price Range</t>
  </si>
  <si>
    <t>IF CONDITION</t>
  </si>
  <si>
    <t>4.A)</t>
  </si>
  <si>
    <t>SUM IF</t>
  </si>
  <si>
    <t>COUNT IF</t>
  </si>
  <si>
    <t>Day</t>
  </si>
  <si>
    <t>LEFT</t>
  </si>
  <si>
    <t>RIGHT</t>
  </si>
  <si>
    <t>COUNTRY CODE</t>
  </si>
  <si>
    <t>MID</t>
  </si>
  <si>
    <t>MONTH</t>
  </si>
  <si>
    <t>Column1</t>
  </si>
  <si>
    <t>Column2</t>
  </si>
  <si>
    <t>Column3</t>
  </si>
  <si>
    <t>Column4</t>
  </si>
  <si>
    <t>Column5</t>
  </si>
  <si>
    <t>Column6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</si>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</sst>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 applyAlignment="1"/>
    <xf numFmtId="0" fontId="7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0" fillId="5" borderId="0" xfId="0" applyFont="1" applyFill="1" applyAlignme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41B63-E35E-4E89-9A42-8EDABEA35A12}" name="Table1" displayName="Table1" ref="A1:J36" totalsRowShown="0" headerRowDxfId="2">
  <autoFilter ref="A1:J36" xr:uid="{AA141B63-E35E-4E89-9A42-8EDABEA35A12}"/>
  <tableColumns count="10">
    <tableColumn id="1" xr3:uid="{F9F69767-79DF-4857-BCF1-CE31A50E6A0F}" name="Column1" dataDxfId="12"/>
    <tableColumn id="2" xr3:uid="{24927DEE-5DE2-4CF5-BEAC-F23FF52AA292}" name="Column2" dataDxfId="11"/>
    <tableColumn id="3" xr3:uid="{0FA193E2-A79D-45ED-B52A-B9C2FB162100}" name="Column3" dataDxfId="10"/>
    <tableColumn id="4" xr3:uid="{5426E858-F36A-4843-B5C1-73859B263CDE}" name="Column4" dataDxfId="9"/>
    <tableColumn id="5" xr3:uid="{FFEEBD06-02F0-4DB9-9AC1-F92F8E7D34D1}" name="Column5" dataDxfId="8"/>
    <tableColumn id="6" xr3:uid="{3C21D4B8-4383-4FCA-A0F4-6E610B516B4D}" name="Column6" dataDxfId="7"/>
    <tableColumn id="7" xr3:uid="{821F7E82-3DD4-4FBC-83BB-3B4B4756D91B}" name="IF CONDITION" dataDxfId="6">
      <calculatedColumnFormula>IF(D2&gt;500,"HIGH PRICE","STANDARD PRICE")</calculatedColumnFormula>
    </tableColumn>
    <tableColumn id="8" xr3:uid="{D58A4CB3-69AF-4993-B0E9-3C2C65935F20}" name="LEFT" dataDxfId="5">
      <calculatedColumnFormula>LEFT(A2,2)</calculatedColumnFormula>
    </tableColumn>
    <tableColumn id="9" xr3:uid="{B1D0751A-A3DB-4CAB-ACEC-AB1526A1F629}" name="RIGHT" dataDxfId="4">
      <calculatedColumnFormula>RIGHT(A2,2)</calculatedColumnFormula>
    </tableColumn>
    <tableColumn id="10" xr3:uid="{52845270-BCCF-4E51-9C39-92498C32517C}" name="MID" dataDxfId="3">
      <calculatedColumnFormula>MID(A2,4,6)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28B0F3-B4A2-4454-94CF-1503745DC835}" name="Table2" displayName="Table2" ref="A38:D48" totalsRowShown="0">
  <autoFilter ref="A38:D48" xr:uid="{6128B0F3-B4A2-4454-94CF-1503745DC835}"/>
  <tableColumns count="4">
    <tableColumn id="1" xr3:uid="{BBE6E7FB-2B81-409F-BDBF-DEC9BE887303}" name="Column1" dataDxfId="1"/>
    <tableColumn id="2" xr3:uid="{69E40C73-EA57-477F-9BEB-5AE3B28925FE}" name="Column2" dataDxfId="0"/>
    <tableColumn id="3" xr3:uid="{4F5563B9-D7E5-4F22-B399-64A80AD1BB0C}" name="Column3"/>
    <tableColumn id="4" xr3:uid="{183D4A38-DDC4-4787-B8C2-BE4D047BA876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F18" sqref="F18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1"/>
  <sheetViews>
    <sheetView tabSelected="1" topLeftCell="A37" workbookViewId="0">
      <selection activeCell="B53" sqref="B53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  <col min="7" max="7" width="16.54296875" bestFit="1" customWidth="1"/>
    <col min="9" max="9" width="15.54296875" bestFit="1" customWidth="1"/>
  </cols>
  <sheetData>
    <row r="1" spans="1:10" ht="15" customHeight="1" x14ac:dyDescent="0.2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s="10" t="s">
        <v>120</v>
      </c>
      <c r="H1" s="12" t="s">
        <v>125</v>
      </c>
      <c r="I1" s="12" t="s">
        <v>126</v>
      </c>
      <c r="J1" s="12" t="s">
        <v>128</v>
      </c>
    </row>
    <row r="2" spans="1:10" ht="15.75" customHeight="1" x14ac:dyDescent="0.3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119</v>
      </c>
      <c r="H2" s="5" t="s">
        <v>124</v>
      </c>
      <c r="I2" s="5" t="s">
        <v>127</v>
      </c>
      <c r="J2" s="5" t="s">
        <v>129</v>
      </c>
    </row>
    <row r="3" spans="1:10" ht="15.75" customHeight="1" x14ac:dyDescent="0.25">
      <c r="A3" s="6" t="s">
        <v>23</v>
      </c>
      <c r="B3" s="6" t="s">
        <v>24</v>
      </c>
      <c r="C3" s="6" t="s">
        <v>25</v>
      </c>
      <c r="D3" s="6">
        <v>1000</v>
      </c>
      <c r="E3" s="6">
        <v>30</v>
      </c>
      <c r="F3" s="6" t="s">
        <v>26</v>
      </c>
      <c r="G3" s="7" t="str">
        <f>IF(D3&gt;500,"HIGH PRICE","STANDARD PRICE")</f>
        <v>HIGH PRICE</v>
      </c>
      <c r="H3" s="11" t="str">
        <f>LEFT(A3,2)</f>
        <v>28</v>
      </c>
      <c r="I3" s="13" t="str">
        <f>RIGHT(A3,2)</f>
        <v>US</v>
      </c>
      <c r="J3" s="13" t="str">
        <f>MID(A3,4,6)</f>
        <v>JAN-US</v>
      </c>
    </row>
    <row r="4" spans="1:10" ht="15.75" customHeight="1" x14ac:dyDescent="0.25">
      <c r="A4" s="8" t="s">
        <v>27</v>
      </c>
      <c r="B4" s="8" t="s">
        <v>28</v>
      </c>
      <c r="C4" s="8" t="s">
        <v>29</v>
      </c>
      <c r="D4" s="8">
        <v>80</v>
      </c>
      <c r="E4" s="8">
        <v>15</v>
      </c>
      <c r="F4" s="8" t="s">
        <v>30</v>
      </c>
      <c r="G4" s="7" t="str">
        <f t="shared" ref="G4:G36" si="0">IF(D4&gt;500,"HIGH PRICE","STANDARD PRICE")</f>
        <v>STANDARD PRICE</v>
      </c>
      <c r="H4" s="11" t="str">
        <f t="shared" ref="H4:H36" si="1">LEFT(A4,2)</f>
        <v>15</v>
      </c>
      <c r="I4" s="13" t="str">
        <f t="shared" ref="I4:I36" si="2">RIGHT(A4,2)</f>
        <v>US</v>
      </c>
      <c r="J4" s="13" t="str">
        <f t="shared" ref="J4:J36" si="3">MID(A4,4,6)</f>
        <v>FEB-US</v>
      </c>
    </row>
    <row r="5" spans="1:10" ht="15.75" customHeight="1" x14ac:dyDescent="0.25">
      <c r="A5" s="6" t="s">
        <v>31</v>
      </c>
      <c r="B5" s="6" t="s">
        <v>32</v>
      </c>
      <c r="C5" s="6" t="s">
        <v>33</v>
      </c>
      <c r="D5" s="6">
        <v>130</v>
      </c>
      <c r="E5" s="6">
        <v>40</v>
      </c>
      <c r="F5" s="6" t="s">
        <v>34</v>
      </c>
      <c r="G5" s="7" t="str">
        <f t="shared" si="0"/>
        <v>STANDARD PRICE</v>
      </c>
      <c r="H5" s="11" t="str">
        <f t="shared" si="1"/>
        <v>03</v>
      </c>
      <c r="I5" s="13" t="str">
        <f t="shared" si="2"/>
        <v>US</v>
      </c>
      <c r="J5" s="13" t="str">
        <f t="shared" si="3"/>
        <v>MAR-US</v>
      </c>
    </row>
    <row r="6" spans="1:10" ht="15.75" customHeight="1" x14ac:dyDescent="0.25">
      <c r="A6" s="8" t="s">
        <v>35</v>
      </c>
      <c r="B6" s="8" t="s">
        <v>36</v>
      </c>
      <c r="C6" s="8" t="s">
        <v>37</v>
      </c>
      <c r="D6" s="8">
        <v>900</v>
      </c>
      <c r="E6" s="8">
        <v>25</v>
      </c>
      <c r="F6" s="8" t="s">
        <v>26</v>
      </c>
      <c r="G6" s="7" t="str">
        <f t="shared" si="0"/>
        <v>HIGH PRICE</v>
      </c>
      <c r="H6" s="11" t="str">
        <f t="shared" si="1"/>
        <v>11</v>
      </c>
      <c r="I6" s="13" t="str">
        <f t="shared" si="2"/>
        <v>US</v>
      </c>
      <c r="J6" s="13" t="str">
        <f t="shared" si="3"/>
        <v>APR-US</v>
      </c>
    </row>
    <row r="7" spans="1:10" ht="15.75" customHeight="1" x14ac:dyDescent="0.25">
      <c r="A7" s="6" t="s">
        <v>38</v>
      </c>
      <c r="B7" s="6" t="s">
        <v>39</v>
      </c>
      <c r="C7" s="6" t="s">
        <v>40</v>
      </c>
      <c r="D7" s="6">
        <v>70</v>
      </c>
      <c r="E7" s="6">
        <v>20</v>
      </c>
      <c r="F7" s="6" t="s">
        <v>41</v>
      </c>
      <c r="G7" s="7" t="str">
        <f t="shared" si="0"/>
        <v>STANDARD PRICE</v>
      </c>
      <c r="H7" s="11" t="str">
        <f t="shared" si="1"/>
        <v>22</v>
      </c>
      <c r="I7" s="13" t="str">
        <f t="shared" si="2"/>
        <v>US</v>
      </c>
      <c r="J7" s="13" t="str">
        <f t="shared" si="3"/>
        <v>MAY-US</v>
      </c>
    </row>
    <row r="8" spans="1:10" ht="15.75" customHeight="1" x14ac:dyDescent="0.25">
      <c r="A8" s="8" t="s">
        <v>42</v>
      </c>
      <c r="B8" s="8" t="s">
        <v>43</v>
      </c>
      <c r="C8" s="8" t="s">
        <v>44</v>
      </c>
      <c r="D8" s="8">
        <v>200</v>
      </c>
      <c r="E8" s="8">
        <v>45</v>
      </c>
      <c r="F8" s="8" t="s">
        <v>26</v>
      </c>
      <c r="G8" s="7" t="str">
        <f t="shared" si="0"/>
        <v>STANDARD PRICE</v>
      </c>
      <c r="H8" s="11" t="str">
        <f t="shared" si="1"/>
        <v>07</v>
      </c>
      <c r="I8" s="13" t="str">
        <f t="shared" si="2"/>
        <v>UK</v>
      </c>
      <c r="J8" s="13" t="str">
        <f t="shared" si="3"/>
        <v>JUN-UK</v>
      </c>
    </row>
    <row r="9" spans="1:10" ht="15.75" customHeight="1" x14ac:dyDescent="0.25">
      <c r="A9" s="6" t="s">
        <v>45</v>
      </c>
      <c r="B9" s="6" t="s">
        <v>46</v>
      </c>
      <c r="C9" s="6" t="s">
        <v>47</v>
      </c>
      <c r="D9" s="6">
        <v>30</v>
      </c>
      <c r="E9" s="6">
        <v>5</v>
      </c>
      <c r="F9" s="6" t="s">
        <v>30</v>
      </c>
      <c r="G9" s="7" t="str">
        <f t="shared" si="0"/>
        <v>STANDARD PRICE</v>
      </c>
      <c r="H9" s="11" t="str">
        <f t="shared" si="1"/>
        <v>19</v>
      </c>
      <c r="I9" s="13" t="str">
        <f t="shared" si="2"/>
        <v>UK</v>
      </c>
      <c r="J9" s="13" t="str">
        <f t="shared" si="3"/>
        <v>JUL-UK</v>
      </c>
    </row>
    <row r="10" spans="1:10" ht="15.75" customHeight="1" x14ac:dyDescent="0.25">
      <c r="A10" s="8" t="s">
        <v>48</v>
      </c>
      <c r="B10" s="8" t="s">
        <v>49</v>
      </c>
      <c r="C10" s="8" t="s">
        <v>50</v>
      </c>
      <c r="D10" s="8">
        <v>90</v>
      </c>
      <c r="E10" s="8">
        <v>35</v>
      </c>
      <c r="F10" s="8" t="s">
        <v>34</v>
      </c>
      <c r="G10" s="7" t="str">
        <f t="shared" si="0"/>
        <v>STANDARD PRICE</v>
      </c>
      <c r="H10" s="11" t="str">
        <f t="shared" si="1"/>
        <v>23</v>
      </c>
      <c r="I10" s="13" t="str">
        <f t="shared" si="2"/>
        <v>UK</v>
      </c>
      <c r="J10" s="13" t="str">
        <f t="shared" si="3"/>
        <v>AUG-UK</v>
      </c>
    </row>
    <row r="11" spans="1:10" ht="15.75" customHeight="1" x14ac:dyDescent="0.25">
      <c r="A11" s="6" t="s">
        <v>51</v>
      </c>
      <c r="B11" s="6" t="s">
        <v>52</v>
      </c>
      <c r="C11" s="6" t="s">
        <v>53</v>
      </c>
      <c r="D11" s="6">
        <v>500</v>
      </c>
      <c r="E11" s="6">
        <v>50</v>
      </c>
      <c r="F11" s="6" t="s">
        <v>26</v>
      </c>
      <c r="G11" s="7" t="str">
        <f t="shared" si="0"/>
        <v>STANDARD PRICE</v>
      </c>
      <c r="H11" s="11" t="str">
        <f t="shared" si="1"/>
        <v>05</v>
      </c>
      <c r="I11" s="13" t="str">
        <f t="shared" si="2"/>
        <v>UK</v>
      </c>
      <c r="J11" s="13" t="str">
        <f t="shared" si="3"/>
        <v>SEP-UK</v>
      </c>
    </row>
    <row r="12" spans="1:10" ht="15.75" customHeight="1" x14ac:dyDescent="0.25">
      <c r="A12" s="8" t="s">
        <v>54</v>
      </c>
      <c r="B12" s="8" t="s">
        <v>55</v>
      </c>
      <c r="C12" s="8" t="s">
        <v>56</v>
      </c>
      <c r="D12" s="8">
        <v>130</v>
      </c>
      <c r="E12" s="8">
        <v>10</v>
      </c>
      <c r="F12" s="8" t="s">
        <v>41</v>
      </c>
      <c r="G12" s="7" t="str">
        <f t="shared" si="0"/>
        <v>STANDARD PRICE</v>
      </c>
      <c r="H12" s="11" t="str">
        <f t="shared" si="1"/>
        <v>14</v>
      </c>
      <c r="I12" s="13" t="str">
        <f t="shared" si="2"/>
        <v>UK</v>
      </c>
      <c r="J12" s="13" t="str">
        <f t="shared" si="3"/>
        <v>OCT-UK</v>
      </c>
    </row>
    <row r="13" spans="1:10" ht="15.75" customHeight="1" x14ac:dyDescent="0.25">
      <c r="A13" s="6" t="s">
        <v>57</v>
      </c>
      <c r="B13" s="6" t="s">
        <v>24</v>
      </c>
      <c r="C13" s="6" t="s">
        <v>58</v>
      </c>
      <c r="D13" s="6">
        <v>950</v>
      </c>
      <c r="E13" s="6">
        <v>25</v>
      </c>
      <c r="F13" s="6" t="s">
        <v>26</v>
      </c>
      <c r="G13" s="7" t="str">
        <f t="shared" si="0"/>
        <v>HIGH PRICE</v>
      </c>
      <c r="H13" s="11" t="str">
        <f t="shared" si="1"/>
        <v>17</v>
      </c>
      <c r="I13" s="13" t="str">
        <f t="shared" si="2"/>
        <v>IN</v>
      </c>
      <c r="J13" s="13" t="str">
        <f t="shared" si="3"/>
        <v>JUN-IN</v>
      </c>
    </row>
    <row r="14" spans="1:10" ht="15.75" customHeight="1" x14ac:dyDescent="0.25">
      <c r="A14" s="8" t="s">
        <v>59</v>
      </c>
      <c r="B14" s="8" t="s">
        <v>28</v>
      </c>
      <c r="C14" s="8" t="s">
        <v>47</v>
      </c>
      <c r="D14" s="8">
        <v>90</v>
      </c>
      <c r="E14" s="8">
        <v>40</v>
      </c>
      <c r="F14" s="8" t="s">
        <v>30</v>
      </c>
      <c r="G14" s="7" t="str">
        <f t="shared" si="0"/>
        <v>STANDARD PRICE</v>
      </c>
      <c r="H14" s="11" t="str">
        <f t="shared" si="1"/>
        <v>25</v>
      </c>
      <c r="I14" s="13" t="str">
        <f t="shared" si="2"/>
        <v>AU</v>
      </c>
      <c r="J14" s="13" t="str">
        <f t="shared" si="3"/>
        <v>NOV-AU</v>
      </c>
    </row>
    <row r="15" spans="1:10" ht="15.75" customHeight="1" x14ac:dyDescent="0.25">
      <c r="A15" s="6" t="s">
        <v>60</v>
      </c>
      <c r="B15" s="6" t="s">
        <v>32</v>
      </c>
      <c r="C15" s="6" t="s">
        <v>61</v>
      </c>
      <c r="D15" s="6">
        <v>120</v>
      </c>
      <c r="E15" s="6">
        <v>35</v>
      </c>
      <c r="F15" s="6" t="s">
        <v>34</v>
      </c>
      <c r="G15" s="7" t="str">
        <f t="shared" si="0"/>
        <v>STANDARD PRICE</v>
      </c>
      <c r="H15" s="11" t="str">
        <f t="shared" si="1"/>
        <v>08</v>
      </c>
      <c r="I15" s="13" t="str">
        <f t="shared" si="2"/>
        <v>DE</v>
      </c>
      <c r="J15" s="13" t="str">
        <f t="shared" si="3"/>
        <v>DEC-DE</v>
      </c>
    </row>
    <row r="16" spans="1:10" ht="15.75" customHeight="1" x14ac:dyDescent="0.25">
      <c r="A16" s="8" t="s">
        <v>62</v>
      </c>
      <c r="B16" s="8" t="s">
        <v>63</v>
      </c>
      <c r="C16" s="8" t="s">
        <v>64</v>
      </c>
      <c r="D16" s="8">
        <v>150</v>
      </c>
      <c r="E16" s="8">
        <v>15</v>
      </c>
      <c r="F16" s="8" t="s">
        <v>26</v>
      </c>
      <c r="G16" s="7" t="str">
        <f t="shared" si="0"/>
        <v>STANDARD PRICE</v>
      </c>
      <c r="H16" s="11" t="str">
        <f t="shared" si="1"/>
        <v>18</v>
      </c>
      <c r="I16" s="13" t="str">
        <f t="shared" si="2"/>
        <v>CA</v>
      </c>
      <c r="J16" s="13" t="str">
        <f t="shared" si="3"/>
        <v>FEB-CA</v>
      </c>
    </row>
    <row r="17" spans="1:10" ht="15.75" customHeight="1" x14ac:dyDescent="0.25">
      <c r="A17" s="6" t="s">
        <v>65</v>
      </c>
      <c r="B17" s="6" t="s">
        <v>43</v>
      </c>
      <c r="C17" s="6" t="s">
        <v>66</v>
      </c>
      <c r="D17" s="6">
        <v>250</v>
      </c>
      <c r="E17" s="6">
        <v>20</v>
      </c>
      <c r="F17" s="6" t="s">
        <v>26</v>
      </c>
      <c r="G17" s="7" t="str">
        <f t="shared" si="0"/>
        <v>STANDARD PRICE</v>
      </c>
      <c r="H17" s="11" t="str">
        <f t="shared" si="1"/>
        <v>16</v>
      </c>
      <c r="I17" s="13" t="str">
        <f t="shared" si="2"/>
        <v>ES</v>
      </c>
      <c r="J17" s="13" t="str">
        <f t="shared" si="3"/>
        <v>APR-ES</v>
      </c>
    </row>
    <row r="18" spans="1:10" ht="15.75" customHeight="1" x14ac:dyDescent="0.25">
      <c r="A18" s="8" t="s">
        <v>67</v>
      </c>
      <c r="B18" s="8" t="s">
        <v>68</v>
      </c>
      <c r="C18" s="8" t="s">
        <v>69</v>
      </c>
      <c r="D18" s="8">
        <v>50</v>
      </c>
      <c r="E18" s="8">
        <v>35</v>
      </c>
      <c r="F18" s="8" t="s">
        <v>70</v>
      </c>
      <c r="G18" s="7" t="str">
        <f t="shared" si="0"/>
        <v>STANDARD PRICE</v>
      </c>
      <c r="H18" s="11" t="str">
        <f t="shared" si="1"/>
        <v>21</v>
      </c>
      <c r="I18" s="13" t="str">
        <f t="shared" si="2"/>
        <v>CA</v>
      </c>
      <c r="J18" s="13" t="str">
        <f t="shared" si="3"/>
        <v>AUG-CA</v>
      </c>
    </row>
    <row r="19" spans="1:10" ht="15.75" customHeight="1" x14ac:dyDescent="0.25">
      <c r="A19" s="6" t="s">
        <v>71</v>
      </c>
      <c r="B19" s="6" t="s">
        <v>63</v>
      </c>
      <c r="C19" s="6" t="s">
        <v>72</v>
      </c>
      <c r="D19" s="6">
        <v>160</v>
      </c>
      <c r="E19" s="6">
        <v>15</v>
      </c>
      <c r="F19" s="6" t="s">
        <v>26</v>
      </c>
      <c r="G19" s="7" t="str">
        <f t="shared" si="0"/>
        <v>STANDARD PRICE</v>
      </c>
      <c r="H19" s="11" t="str">
        <f t="shared" si="1"/>
        <v>20</v>
      </c>
      <c r="I19" s="13" t="str">
        <f t="shared" si="2"/>
        <v>CN</v>
      </c>
      <c r="J19" s="13" t="str">
        <f t="shared" si="3"/>
        <v>AUG-CN</v>
      </c>
    </row>
    <row r="20" spans="1:10" ht="15.75" customHeight="1" x14ac:dyDescent="0.25">
      <c r="A20" s="8" t="s">
        <v>73</v>
      </c>
      <c r="B20" s="8" t="s">
        <v>24</v>
      </c>
      <c r="C20" s="8" t="s">
        <v>74</v>
      </c>
      <c r="D20" s="8">
        <v>980</v>
      </c>
      <c r="E20" s="8">
        <v>10</v>
      </c>
      <c r="F20" s="8" t="s">
        <v>26</v>
      </c>
      <c r="G20" s="7" t="str">
        <f t="shared" si="0"/>
        <v>HIGH PRICE</v>
      </c>
      <c r="H20" s="11" t="str">
        <f t="shared" si="1"/>
        <v>27</v>
      </c>
      <c r="I20" s="13" t="str">
        <f t="shared" si="2"/>
        <v>IT</v>
      </c>
      <c r="J20" s="13" t="str">
        <f t="shared" si="3"/>
        <v>JAN-IT</v>
      </c>
    </row>
    <row r="21" spans="1:10" ht="15.75" customHeight="1" x14ac:dyDescent="0.25">
      <c r="A21" s="6" t="s">
        <v>75</v>
      </c>
      <c r="B21" s="6" t="s">
        <v>76</v>
      </c>
      <c r="C21" s="6" t="s">
        <v>77</v>
      </c>
      <c r="D21" s="6">
        <v>150</v>
      </c>
      <c r="E21" s="6">
        <v>15</v>
      </c>
      <c r="F21" s="6" t="s">
        <v>30</v>
      </c>
      <c r="G21" s="7" t="str">
        <f t="shared" si="0"/>
        <v>STANDARD PRICE</v>
      </c>
      <c r="H21" s="11" t="str">
        <f t="shared" si="1"/>
        <v>01</v>
      </c>
      <c r="I21" s="13" t="str">
        <f t="shared" si="2"/>
        <v>UK</v>
      </c>
      <c r="J21" s="13" t="str">
        <f t="shared" si="3"/>
        <v>MAR-UK</v>
      </c>
    </row>
    <row r="22" spans="1:10" ht="15.75" customHeight="1" x14ac:dyDescent="0.25">
      <c r="A22" s="8" t="s">
        <v>78</v>
      </c>
      <c r="B22" s="8" t="s">
        <v>79</v>
      </c>
      <c r="C22" s="8" t="s">
        <v>80</v>
      </c>
      <c r="D22" s="8">
        <v>200</v>
      </c>
      <c r="E22" s="8">
        <v>10</v>
      </c>
      <c r="F22" s="8" t="s">
        <v>41</v>
      </c>
      <c r="G22" s="7" t="str">
        <f t="shared" si="0"/>
        <v>STANDARD PRICE</v>
      </c>
      <c r="H22" s="11" t="str">
        <f t="shared" si="1"/>
        <v>14</v>
      </c>
      <c r="I22" s="13" t="str">
        <f t="shared" si="2"/>
        <v>US</v>
      </c>
      <c r="J22" s="13" t="str">
        <f t="shared" si="3"/>
        <v>AUG-US</v>
      </c>
    </row>
    <row r="23" spans="1:10" ht="15.75" customHeight="1" x14ac:dyDescent="0.25">
      <c r="A23" s="6" t="s">
        <v>81</v>
      </c>
      <c r="B23" s="6" t="s">
        <v>82</v>
      </c>
      <c r="C23" s="6" t="s">
        <v>83</v>
      </c>
      <c r="D23" s="6">
        <v>700</v>
      </c>
      <c r="E23" s="6">
        <v>50</v>
      </c>
      <c r="F23" s="6" t="s">
        <v>26</v>
      </c>
      <c r="G23" s="7" t="str">
        <f t="shared" si="0"/>
        <v>HIGH PRICE</v>
      </c>
      <c r="H23" s="11" t="str">
        <f t="shared" si="1"/>
        <v>14</v>
      </c>
      <c r="I23" s="13" t="str">
        <f t="shared" si="2"/>
        <v>RU</v>
      </c>
      <c r="J23" s="13" t="str">
        <f t="shared" si="3"/>
        <v>MAY-RU</v>
      </c>
    </row>
    <row r="24" spans="1:10" ht="15.75" customHeight="1" x14ac:dyDescent="0.25">
      <c r="A24" s="8" t="s">
        <v>84</v>
      </c>
      <c r="B24" s="8" t="s">
        <v>85</v>
      </c>
      <c r="C24" s="8" t="s">
        <v>86</v>
      </c>
      <c r="D24" s="8">
        <v>80</v>
      </c>
      <c r="E24" s="8">
        <v>20</v>
      </c>
      <c r="F24" s="8" t="s">
        <v>34</v>
      </c>
      <c r="G24" s="7" t="str">
        <f t="shared" si="0"/>
        <v>STANDARD PRICE</v>
      </c>
      <c r="H24" s="11" t="str">
        <f t="shared" si="1"/>
        <v>09</v>
      </c>
      <c r="I24" s="13" t="str">
        <f t="shared" si="2"/>
        <v>CA</v>
      </c>
      <c r="J24" s="13" t="str">
        <f t="shared" si="3"/>
        <v>JAN-CA</v>
      </c>
    </row>
    <row r="25" spans="1:10" ht="15.75" customHeight="1" x14ac:dyDescent="0.25">
      <c r="A25" s="6" t="s">
        <v>87</v>
      </c>
      <c r="B25" s="6" t="s">
        <v>88</v>
      </c>
      <c r="C25" s="6" t="s">
        <v>89</v>
      </c>
      <c r="D25" s="6">
        <v>150</v>
      </c>
      <c r="E25" s="6">
        <v>30</v>
      </c>
      <c r="F25" s="6" t="s">
        <v>26</v>
      </c>
      <c r="G25" s="7" t="str">
        <f t="shared" si="0"/>
        <v>STANDARD PRICE</v>
      </c>
      <c r="H25" s="11" t="str">
        <f t="shared" si="1"/>
        <v>19</v>
      </c>
      <c r="I25" s="13" t="str">
        <f t="shared" si="2"/>
        <v>BR</v>
      </c>
      <c r="J25" s="13" t="str">
        <f t="shared" si="3"/>
        <v>JUL-BR</v>
      </c>
    </row>
    <row r="26" spans="1:10" ht="15.75" customHeight="1" x14ac:dyDescent="0.25">
      <c r="A26" s="8" t="s">
        <v>67</v>
      </c>
      <c r="B26" s="8" t="s">
        <v>68</v>
      </c>
      <c r="C26" s="8" t="s">
        <v>69</v>
      </c>
      <c r="D26" s="8">
        <v>50</v>
      </c>
      <c r="E26" s="8">
        <v>35</v>
      </c>
      <c r="F26" s="8" t="s">
        <v>70</v>
      </c>
      <c r="G26" s="7" t="str">
        <f t="shared" si="0"/>
        <v>STANDARD PRICE</v>
      </c>
      <c r="H26" s="11" t="str">
        <f t="shared" si="1"/>
        <v>21</v>
      </c>
      <c r="I26" s="13" t="str">
        <f t="shared" si="2"/>
        <v>CA</v>
      </c>
      <c r="J26" s="13" t="str">
        <f t="shared" si="3"/>
        <v>AUG-CA</v>
      </c>
    </row>
    <row r="27" spans="1:10" ht="15.75" customHeight="1" x14ac:dyDescent="0.25">
      <c r="A27" s="6" t="s">
        <v>90</v>
      </c>
      <c r="B27" s="6" t="s">
        <v>36</v>
      </c>
      <c r="C27" s="6" t="s">
        <v>91</v>
      </c>
      <c r="D27" s="6">
        <v>800</v>
      </c>
      <c r="E27" s="6">
        <v>45</v>
      </c>
      <c r="F27" s="6" t="s">
        <v>26</v>
      </c>
      <c r="G27" s="7" t="str">
        <f t="shared" si="0"/>
        <v>HIGH PRICE</v>
      </c>
      <c r="H27" s="11" t="str">
        <f t="shared" si="1"/>
        <v>29</v>
      </c>
      <c r="I27" s="13" t="str">
        <f t="shared" si="2"/>
        <v>CA</v>
      </c>
      <c r="J27" s="13" t="str">
        <f t="shared" si="3"/>
        <v>SEP-CA</v>
      </c>
    </row>
    <row r="28" spans="1:10" ht="15.75" customHeight="1" x14ac:dyDescent="0.25">
      <c r="A28" s="8" t="s">
        <v>92</v>
      </c>
      <c r="B28" s="8" t="s">
        <v>76</v>
      </c>
      <c r="C28" s="8" t="s">
        <v>93</v>
      </c>
      <c r="D28" s="8">
        <v>130</v>
      </c>
      <c r="E28" s="8">
        <v>25</v>
      </c>
      <c r="F28" s="8" t="s">
        <v>30</v>
      </c>
      <c r="G28" s="7" t="str">
        <f t="shared" si="0"/>
        <v>STANDARD PRICE</v>
      </c>
      <c r="H28" s="11" t="str">
        <f t="shared" si="1"/>
        <v>03</v>
      </c>
      <c r="I28" s="13" t="str">
        <f t="shared" si="2"/>
        <v>CA</v>
      </c>
      <c r="J28" s="13" t="str">
        <f t="shared" si="3"/>
        <v>JUN-CA</v>
      </c>
    </row>
    <row r="29" spans="1:10" ht="15.75" customHeight="1" x14ac:dyDescent="0.25">
      <c r="A29" s="6" t="s">
        <v>94</v>
      </c>
      <c r="B29" s="6" t="s">
        <v>49</v>
      </c>
      <c r="C29" s="6" t="s">
        <v>95</v>
      </c>
      <c r="D29" s="6">
        <v>400</v>
      </c>
      <c r="E29" s="6">
        <v>40</v>
      </c>
      <c r="F29" s="6" t="s">
        <v>34</v>
      </c>
      <c r="G29" s="7" t="str">
        <f t="shared" si="0"/>
        <v>STANDARD PRICE</v>
      </c>
      <c r="H29" s="11" t="str">
        <f t="shared" si="1"/>
        <v>11</v>
      </c>
      <c r="I29" s="13" t="str">
        <f t="shared" si="2"/>
        <v>CA</v>
      </c>
      <c r="J29" s="13" t="str">
        <f t="shared" si="3"/>
        <v>JUL-CA</v>
      </c>
    </row>
    <row r="30" spans="1:10" ht="15.75" customHeight="1" x14ac:dyDescent="0.25">
      <c r="A30" s="8" t="s">
        <v>65</v>
      </c>
      <c r="B30" s="8" t="s">
        <v>43</v>
      </c>
      <c r="C30" s="8" t="s">
        <v>66</v>
      </c>
      <c r="D30" s="8">
        <v>230</v>
      </c>
      <c r="E30" s="8">
        <v>20</v>
      </c>
      <c r="F30" s="8" t="s">
        <v>26</v>
      </c>
      <c r="G30" s="7" t="str">
        <f t="shared" si="0"/>
        <v>STANDARD PRICE</v>
      </c>
      <c r="H30" s="11" t="str">
        <f t="shared" si="1"/>
        <v>16</v>
      </c>
      <c r="I30" s="13" t="str">
        <f t="shared" si="2"/>
        <v>ES</v>
      </c>
      <c r="J30" s="13" t="str">
        <f t="shared" si="3"/>
        <v>APR-ES</v>
      </c>
    </row>
    <row r="31" spans="1:10" ht="15.75" customHeight="1" x14ac:dyDescent="0.25">
      <c r="A31" s="6" t="s">
        <v>96</v>
      </c>
      <c r="B31" s="6" t="s">
        <v>97</v>
      </c>
      <c r="C31" s="6" t="s">
        <v>98</v>
      </c>
      <c r="D31" s="6">
        <v>60</v>
      </c>
      <c r="E31" s="6">
        <v>30</v>
      </c>
      <c r="F31" s="6" t="s">
        <v>30</v>
      </c>
      <c r="G31" s="7" t="str">
        <f t="shared" si="0"/>
        <v>STANDARD PRICE</v>
      </c>
      <c r="H31" s="11" t="str">
        <f t="shared" si="1"/>
        <v>07</v>
      </c>
      <c r="I31" s="13" t="str">
        <f t="shared" si="2"/>
        <v>CA</v>
      </c>
      <c r="J31" s="13" t="str">
        <f t="shared" si="3"/>
        <v>MAR-CA</v>
      </c>
    </row>
    <row r="32" spans="1:10" ht="15.75" customHeight="1" x14ac:dyDescent="0.25">
      <c r="A32" s="8" t="s">
        <v>99</v>
      </c>
      <c r="B32" s="8" t="s">
        <v>100</v>
      </c>
      <c r="C32" s="8" t="s">
        <v>101</v>
      </c>
      <c r="D32" s="8">
        <v>40</v>
      </c>
      <c r="E32" s="8">
        <v>10</v>
      </c>
      <c r="F32" s="8" t="s">
        <v>34</v>
      </c>
      <c r="G32" s="7" t="str">
        <f t="shared" si="0"/>
        <v>STANDARD PRICE</v>
      </c>
      <c r="H32" s="11" t="str">
        <f t="shared" si="1"/>
        <v>13</v>
      </c>
      <c r="I32" s="13" t="str">
        <f t="shared" si="2"/>
        <v>CA</v>
      </c>
      <c r="J32" s="13" t="str">
        <f t="shared" si="3"/>
        <v>APR-CA</v>
      </c>
    </row>
    <row r="33" spans="1:10" ht="15.75" customHeight="1" x14ac:dyDescent="0.25">
      <c r="A33" s="6" t="s">
        <v>102</v>
      </c>
      <c r="B33" s="6" t="s">
        <v>88</v>
      </c>
      <c r="C33" s="6" t="s">
        <v>103</v>
      </c>
      <c r="D33" s="6">
        <v>130</v>
      </c>
      <c r="E33" s="6">
        <v>5</v>
      </c>
      <c r="F33" s="6" t="s">
        <v>26</v>
      </c>
      <c r="G33" s="7" t="str">
        <f t="shared" si="0"/>
        <v>STANDARD PRICE</v>
      </c>
      <c r="H33" s="11" t="str">
        <f t="shared" si="1"/>
        <v>24</v>
      </c>
      <c r="I33" s="13" t="str">
        <f t="shared" si="2"/>
        <v>CA</v>
      </c>
      <c r="J33" s="13" t="str">
        <f t="shared" si="3"/>
        <v>MAY-CA</v>
      </c>
    </row>
    <row r="34" spans="1:10" ht="15.75" customHeight="1" x14ac:dyDescent="0.25">
      <c r="A34" s="8" t="s">
        <v>104</v>
      </c>
      <c r="B34" s="8" t="s">
        <v>105</v>
      </c>
      <c r="C34" s="8" t="s">
        <v>106</v>
      </c>
      <c r="D34" s="8">
        <v>50</v>
      </c>
      <c r="E34" s="8">
        <v>50</v>
      </c>
      <c r="F34" s="8" t="s">
        <v>30</v>
      </c>
      <c r="G34" s="7" t="str">
        <f t="shared" si="0"/>
        <v>STANDARD PRICE</v>
      </c>
      <c r="H34" s="11" t="str">
        <f t="shared" si="1"/>
        <v>02</v>
      </c>
      <c r="I34" s="13" t="str">
        <f t="shared" si="2"/>
        <v>CA</v>
      </c>
      <c r="J34" s="13" t="str">
        <f t="shared" si="3"/>
        <v>DEC-CA</v>
      </c>
    </row>
    <row r="35" spans="1:10" ht="15.75" customHeight="1" x14ac:dyDescent="0.25">
      <c r="A35" s="6" t="s">
        <v>57</v>
      </c>
      <c r="B35" s="6" t="s">
        <v>24</v>
      </c>
      <c r="C35" s="6" t="s">
        <v>58</v>
      </c>
      <c r="D35" s="6">
        <v>950</v>
      </c>
      <c r="E35" s="6">
        <v>25</v>
      </c>
      <c r="F35" s="6" t="s">
        <v>26</v>
      </c>
      <c r="G35" s="7" t="str">
        <f t="shared" si="0"/>
        <v>HIGH PRICE</v>
      </c>
      <c r="H35" s="11" t="str">
        <f t="shared" si="1"/>
        <v>17</v>
      </c>
      <c r="I35" s="13" t="str">
        <f t="shared" si="2"/>
        <v>IN</v>
      </c>
      <c r="J35" s="13" t="str">
        <f t="shared" si="3"/>
        <v>JUN-IN</v>
      </c>
    </row>
    <row r="36" spans="1:10" ht="15.75" customHeight="1" x14ac:dyDescent="0.25">
      <c r="A36" s="8" t="s">
        <v>107</v>
      </c>
      <c r="B36" s="8" t="s">
        <v>108</v>
      </c>
      <c r="C36" s="8" t="s">
        <v>109</v>
      </c>
      <c r="D36" s="8">
        <v>100</v>
      </c>
      <c r="E36" s="8">
        <v>20</v>
      </c>
      <c r="F36" s="8" t="s">
        <v>70</v>
      </c>
      <c r="G36" s="7" t="str">
        <f t="shared" si="0"/>
        <v>STANDARD PRICE</v>
      </c>
      <c r="H36" s="11" t="str">
        <f t="shared" si="1"/>
        <v>09</v>
      </c>
      <c r="I36" s="13" t="str">
        <f t="shared" si="2"/>
        <v>FR</v>
      </c>
      <c r="J36" s="13" t="str">
        <f t="shared" si="3"/>
        <v>JUL-FR</v>
      </c>
    </row>
    <row r="37" spans="1:10" ht="15.75" customHeight="1" x14ac:dyDescent="0.25"/>
    <row r="38" spans="1:10" ht="15.75" customHeight="1" x14ac:dyDescent="0.25">
      <c r="A38" t="s">
        <v>130</v>
      </c>
      <c r="B38" t="s">
        <v>131</v>
      </c>
      <c r="C38" t="s">
        <v>132</v>
      </c>
      <c r="D38" t="s">
        <v>133</v>
      </c>
    </row>
    <row r="39" spans="1:10" ht="15.75" customHeight="1" x14ac:dyDescent="0.25">
      <c r="A39" s="15"/>
      <c r="B39" s="14" t="s">
        <v>136</v>
      </c>
      <c r="C39" s="15"/>
      <c r="D39" s="15"/>
    </row>
    <row r="40" spans="1:10" ht="15.75" customHeight="1" x14ac:dyDescent="0.25">
      <c r="A40" s="9" t="s">
        <v>111</v>
      </c>
      <c r="B40" s="9" t="s">
        <v>110</v>
      </c>
      <c r="D40">
        <f>SUM(D3:D36)</f>
        <v>10100</v>
      </c>
    </row>
    <row r="41" spans="1:10" ht="15.75" customHeight="1" x14ac:dyDescent="0.25">
      <c r="A41" s="9" t="s">
        <v>112</v>
      </c>
      <c r="B41" s="9" t="s">
        <v>113</v>
      </c>
      <c r="D41">
        <f>COUNTA(Dataset!B3:B36)</f>
        <v>34</v>
      </c>
    </row>
    <row r="42" spans="1:10" ht="15.75" customHeight="1" x14ac:dyDescent="0.25">
      <c r="A42" s="9" t="s">
        <v>114</v>
      </c>
      <c r="B42" s="9" t="s">
        <v>115</v>
      </c>
      <c r="D42">
        <f>AVERAGE(D3:D36)</f>
        <v>297.05882352941177</v>
      </c>
    </row>
    <row r="43" spans="1:10" ht="15.75" customHeight="1" x14ac:dyDescent="0.25"/>
    <row r="44" spans="1:10" ht="15.75" customHeight="1" x14ac:dyDescent="0.25">
      <c r="A44" s="9" t="s">
        <v>116</v>
      </c>
      <c r="B44" s="9" t="s">
        <v>117</v>
      </c>
      <c r="D44">
        <f>MIN(D3:D36)</f>
        <v>30</v>
      </c>
    </row>
    <row r="45" spans="1:10" ht="15.75" customHeight="1" x14ac:dyDescent="0.25">
      <c r="A45" s="9" t="s">
        <v>112</v>
      </c>
      <c r="B45" s="9" t="s">
        <v>118</v>
      </c>
      <c r="D45">
        <f>MAX(D3:D36)</f>
        <v>1000</v>
      </c>
    </row>
    <row r="46" spans="1:10" ht="15.75" customHeight="1" x14ac:dyDescent="0.25"/>
    <row r="47" spans="1:10" ht="15.75" customHeight="1" x14ac:dyDescent="0.25">
      <c r="A47" s="9" t="s">
        <v>121</v>
      </c>
      <c r="B47" s="9" t="s">
        <v>122</v>
      </c>
      <c r="D47">
        <f>SUMIF(F3:F36,"Electronics",D3:D36)</f>
        <v>8050</v>
      </c>
    </row>
    <row r="48" spans="1:10" ht="15.75" customHeight="1" x14ac:dyDescent="0.25">
      <c r="A48" s="9" t="s">
        <v>112</v>
      </c>
      <c r="B48" s="9" t="s">
        <v>123</v>
      </c>
      <c r="D48">
        <f>COUNTIF(D3:D36,"&lt;100")</f>
        <v>11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modified xsi:type="dcterms:W3CDTF">2026-10-13T13:43:07Z</dcterms:modified>
</cp:coreProperties>
</file>